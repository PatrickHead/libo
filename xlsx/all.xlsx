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patrick\develop\libo\xlsx\"/>
    </mc:Choice>
  </mc:AlternateContent>
  <xr:revisionPtr revIDLastSave="0" documentId="13_ncr:1_{D305425F-521B-4481-BBEA-6407C53B54E9}" xr6:coauthVersionLast="47" xr6:coauthVersionMax="47" xr10:uidLastSave="{00000000-0000-0000-0000-000000000000}"/>
  <bookViews>
    <workbookView xWindow="-108" yWindow="60" windowWidth="23256" windowHeight="13728" tabRatio="500" xr2:uid="{00000000-000D-0000-FFFF-FFFF00000000}"/>
  </bookViews>
  <sheets>
    <sheet name="all" sheetId="1" r:id="rId1"/>
    <sheet name="list" sheetId="2" r:id="rId2"/>
    <sheet name="pivot" sheetId="3" r:id="rId3"/>
  </sheets>
  <definedNames>
    <definedName name="_xlnm._FilterDatabase" localSheetId="0" hidden="1">all!$A$1:$F$6</definedName>
  </definedNames>
  <calcPr calcId="191029" iterateDelta="1E-4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1" l="1"/>
  <c r="B5" i="1"/>
  <c r="B4" i="1"/>
  <c r="B3" i="1"/>
  <c r="B2" i="1"/>
</calcChain>
</file>

<file path=xl/sharedStrings.xml><?xml version="1.0" encoding="utf-8"?>
<sst xmlns="http://schemas.openxmlformats.org/spreadsheetml/2006/main" count="31" uniqueCount="22">
  <si>
    <t>hostname</t>
  </si>
  <si>
    <t>MATCH</t>
  </si>
  <si>
    <t>ipaddress</t>
  </si>
  <si>
    <t>plugin</t>
  </si>
  <si>
    <t>pluginname</t>
  </si>
  <si>
    <t>Plugin_Text</t>
  </si>
  <si>
    <t>XYZ-DT65998</t>
  </si>
  <si>
    <t>10.11.97.4</t>
  </si>
  <si>
    <t>Citrix Virtual Apps and Desktops Privilege Escalation Vulnerability (CTX319750)</t>
  </si>
  <si>
    <t xml:space="preserve">Synopsis: An application installed on the remote Windows host is affected by a privilege escalation vulnerability.
Description: The version of Citrix Virtual Apps and Desktops installed on the remote Windows host is 2016 and earlier, or s 1912 LTSR CU3 or earlier. It is, therefore, affected by a privilege escalation vulnerability. An unspecified flaw exists related to Citrix Profile Management or Citrix Profile Management WMI Plugin that allows a local attacker to escalate privileges to SYSTEM.
Note that Nessus has not tested for this issue but has instead relied only on the application's self-reported version number.
Solution: Refer to vendor advisory.
See Also: https://support.citrix.com/article/CTX319750
CVSS Base Score: 7.8
CVSS Vector: CVSS2#AV:L/AC:L/Au:N/C:C/I:C/A:C
Plugin Output: 
  Path              : C:\Program Files\Citrix\XenDesktopVdaSetup\XenDesktopVdaSetup.exe
  Installed version : Citrix Virtual Apps and Desktops 7 1912 LTSR CU1
  Fixed version     : See Solution.
CPE: cpe:/a:citrix:virtual_apps_and_desktops
CVE: NULL 
BID: NULL
Crossref: NULL
Vulnerability Publication Date: 2021-07-12
Patch Publication Date: 2021-07-12
Plugin Modification Date: 2021-08-17
Exploitability Ease: No known exploits are available
Plugin Type: local
Source File: 
</t>
  </si>
  <si>
    <t>XYZ-DT69953</t>
  </si>
  <si>
    <t>10.11.97.12</t>
  </si>
  <si>
    <t xml:space="preserve">Synopsis: An application installed on the remote Windows host is affected by a privilege escalation vulnerability.
Description: The version of Citrix Virtual Apps and Desktops installed on the remote Windows host is 2016 and earlier, or s 1912 LTSR CU3 or earlier. It is, therefore, affected by a privilege escalation vulnerability. An unspecified flaw exists related to Citrix Profile Management or Citrix Profile Management WMI Plugin that allows a local attacker to escalate privileges to SYSTEM.
Note that Nessus has not tested for this issue but has instead relied only on the application's self-reported version number.
Solution: Refer to vendor advisory.
See Also: https://support.citrix.com/article/CTX319750
CVSS Base Score: 7.8
CVSS Vector: CVSS2#AV:L/AC:L/Au:N/C:C/I:C/A:C
Plugin Output: 
  Path              : C:\Program Files\Citrix\XenDesktopVdaSetup\XenDesktopVdaSetup.exe
  Installed version : Citrix Virtual Apps and Desktops 7 1912 LTSR CU1
  Fixed version     : See Solution.
CPE: cpe:/a:citrix:virtual_apps_and_desktops
CVE: NULL 
BID: NULL
Crossref: NULL
Vulnerability Publication Date: 2021-07-12
Patch Publication Date: 2021-07-12
Plugin Modification Date: 2021-08-17
Exploitability Ease: No known exploits are available
Plugin Type: local
Source File: 
</t>
  </si>
  <si>
    <t>XYZ-DT69975</t>
  </si>
  <si>
    <t>10.11.97.14</t>
  </si>
  <si>
    <t>XYZ-DT70506</t>
  </si>
  <si>
    <t>10.11.97.27</t>
  </si>
  <si>
    <t>XYZ-DT70986</t>
  </si>
  <si>
    <t>10.11.251.38</t>
  </si>
  <si>
    <t>Count of pluginname</t>
  </si>
  <si>
    <t>(empty)</t>
  </si>
  <si>
    <t>Total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</si>
</sst>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0" fontId="2" fillId="0" borderId="0" applyBorder="0" applyProtection="0"/>
    <xf numFmtId="0" fontId="2" fillId="0" borderId="0" applyBorder="0" applyProtection="0"/>
    <xf numFmtId="0" fontId="2" fillId="0" borderId="0" applyBorder="0" applyProtection="0"/>
    <xf numFmtId="0" fontId="2" fillId="0" borderId="0" applyBorder="0" applyProtection="0">
      <alignment horizontal="left"/>
    </xf>
    <xf numFmtId="0" fontId="1" fillId="0" borderId="0" applyBorder="0" applyProtection="0">
      <alignment horizontal="left"/>
    </xf>
    <xf numFmtId="0" fontId="1" fillId="0" borderId="0" applyBorder="0" applyProtection="0"/>
  </cellStyleXfs>
  <cellXfs count="12">
    <xf numFmtId="0" fontId="0" fillId="0" borderId="0" xfId="0"/>
    <xf numFmtId="0" fontId="0" fillId="0" borderId="0" xfId="0" applyFont="1"/>
    <xf numFmtId="0" fontId="0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0" fillId="0" borderId="1" xfId="3" applyFont="1" applyBorder="1"/>
    <xf numFmtId="0" fontId="0" fillId="0" borderId="2" xfId="1" applyFont="1" applyBorder="1"/>
    <xf numFmtId="0" fontId="0" fillId="0" borderId="3" xfId="4" applyFont="1" applyBorder="1">
      <alignment horizontal="left"/>
    </xf>
    <xf numFmtId="0" fontId="2" fillId="0" borderId="4" xfId="2" applyBorder="1"/>
    <xf numFmtId="0" fontId="0" fillId="0" borderId="5" xfId="4" applyFont="1" applyBorder="1">
      <alignment horizontal="left"/>
    </xf>
    <xf numFmtId="0" fontId="2" fillId="0" borderId="6" xfId="2" applyBorder="1"/>
    <xf numFmtId="0" fontId="1" fillId="0" borderId="7" xfId="5" applyFont="1" applyBorder="1">
      <alignment horizontal="left"/>
    </xf>
    <xf numFmtId="0" fontId="1" fillId="0" borderId="8" xfId="6" applyBorder="1"/>
  </cellXfs>
  <cellStyles count="7">
    <cellStyle name="Normal" xfId="0" builtinId="0"/>
    <cellStyle name="Pivot Table Category" xfId="4" xr:uid="{00000000-0005-0000-0000-000009000000}"/>
    <cellStyle name="Pivot Table Corner" xfId="1" xr:uid="{00000000-0005-0000-0000-000006000000}"/>
    <cellStyle name="Pivot Table Field" xfId="3" xr:uid="{00000000-0005-0000-0000-000008000000}"/>
    <cellStyle name="Pivot Table Result" xfId="6" xr:uid="{00000000-0005-0000-0000-00000B000000}"/>
    <cellStyle name="Pivot Table Title" xfId="5" xr:uid="{00000000-0005-0000-0000-00000A000000}"/>
    <cellStyle name="Pivot Table Valu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5" xr:uid="{00000000-000A-0000-FFFF-FFFF01000000}">
  <cacheSource type="worksheet">
    <worksheetSource ref="E1:E1048576" sheet="all"/>
  </cacheSource>
  <cacheFields count="1">
    <cacheField name="pluginname" numFmtId="0">
      <sharedItems containsBlank="1" count="2">
        <s v="Citrix Virtual Apps and Desktops Privilege Escalation Vulnerability (CTX319750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"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0" dataCaption="Values" itemPrintTitles="1" indent="0" compact="0" outline="1" outlineData="1" compactData="0">
  <location ref="A1:B4" firstHeaderRow="1" firstDataRow="1" firstDataCol="1"/>
  <pivotFields count="1">
    <pivotField axis="axisRow" dataField="1" compact="0" showAll="0">
      <items count="3">
        <item x="0"/>
        <item x="1"/>
        <item t="default"/>
      </items>
    </pivotField>
  </pivotFields>
  <rowFields count="1">
    <field x="0"/>
  </rowFields>
  <dataFields count="1">
    <dataField name="Count of pluginname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8.6640625" defaultRowHeight="14.4" x14ac:dyDescent="0.3"/>
  <cols>
    <col min="1" max="1" width="17.88671875" customWidth="1"/>
    <col min="2" max="2" width="10.6640625" customWidth="1"/>
    <col min="3" max="3" width="13.77734375" customWidth="1"/>
    <col min="4" max="4" width="8" customWidth="1"/>
    <col min="5" max="5" width="103.5546875" customWidth="1"/>
    <col min="6" max="6" width="12.5546875" customWidth="1"/>
  </cols>
  <sheetData>
    <row r="1" spans="1:6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" customHeight="1" x14ac:dyDescent="0.3">
      <c r="A2" t="s">
        <v>6</v>
      </c>
      <c r="B2" t="e">
        <f>MATCH(A2,list!A:A,0)</f>
        <v>#N/A</v>
      </c>
      <c r="C2" t="s">
        <v>7</v>
      </c>
      <c r="D2">
        <v>152046</v>
      </c>
      <c r="E2" t="s">
        <v>8</v>
      </c>
      <c r="F2" s="2" t="s">
        <v>9</v>
      </c>
    </row>
    <row r="3" spans="1:6" ht="15" customHeight="1" x14ac:dyDescent="0.3">
      <c r="A3" t="s">
        <v>10</v>
      </c>
      <c r="B3" t="e">
        <f>MATCH(A3,list!A:A,0)</f>
        <v>#N/A</v>
      </c>
      <c r="C3" t="s">
        <v>11</v>
      </c>
      <c r="D3">
        <v>152046</v>
      </c>
      <c r="E3" t="s">
        <v>8</v>
      </c>
      <c r="F3" s="2" t="s">
        <v>12</v>
      </c>
    </row>
    <row r="4" spans="1:6" ht="15" customHeight="1" x14ac:dyDescent="0.3">
      <c r="A4" t="s">
        <v>13</v>
      </c>
      <c r="B4" t="e">
        <f>MATCH(A4,list!A:A,0)</f>
        <v>#N/A</v>
      </c>
      <c r="C4" t="s">
        <v>14</v>
      </c>
      <c r="D4">
        <v>152046</v>
      </c>
      <c r="E4" t="s">
        <v>8</v>
      </c>
      <c r="F4" s="2" t="s">
        <v>12</v>
      </c>
    </row>
    <row r="5" spans="1:6" ht="15" customHeight="1" x14ac:dyDescent="0.3">
      <c r="A5" t="s">
        <v>15</v>
      </c>
      <c r="B5" t="e">
        <f>MATCH(A5,list!A:A,0)</f>
        <v>#N/A</v>
      </c>
      <c r="C5" t="s">
        <v>16</v>
      </c>
      <c r="D5">
        <v>152046</v>
      </c>
      <c r="E5" t="s">
        <v>8</v>
      </c>
      <c r="F5" s="2" t="s">
        <v>12</v>
      </c>
    </row>
    <row r="6" spans="1:6" ht="15" customHeight="1" x14ac:dyDescent="0.3">
      <c r="A6" t="s">
        <v>17</v>
      </c>
      <c r="B6" t="e">
        <f>MATCH(A6,list!A:A,0)</f>
        <v>#N/A</v>
      </c>
      <c r="C6" t="s">
        <v>18</v>
      </c>
      <c r="D6">
        <v>152046</v>
      </c>
      <c r="E6" t="s">
        <v>8</v>
      </c>
      <c r="F6" s="2" t="s">
        <v>12</v>
      </c>
    </row>
  </sheetData>
  <autoFilter ref="A1:F6" xr:uid="{00000000-0009-0000-0000-000000000000}">
    <sortState xmlns:xlrd2="http://schemas.microsoft.com/office/spreadsheetml/2017/richdata2" ref="A2:F6">
      <sortCondition ref="A2:A6"/>
    </sortState>
  </autoFilter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zoomScaleNormal="100" workbookViewId="0">
      <selection activeCellId="1" sqref="A2:A6 A1"/>
    </sheetView>
  </sheetViews>
  <sheetFormatPr defaultColWidth="8.6640625" defaultRowHeight="14.4" x14ac:dyDescent="0.3"/>
  <cols>
    <col min="1" max="1" width="54.44140625" customWidth="1"/>
  </cols>
  <sheetData>
    <row r="1" spans="1:1" x14ac:dyDescent="0.3">
      <c r="A1" s="3"/>
    </row>
    <row r="2" spans="1:1" x14ac:dyDescent="0.3">
      <c r="A2" s="3"/>
    </row>
    <row r="3" spans="1:1" x14ac:dyDescent="0.3">
      <c r="A3" s="3"/>
    </row>
    <row r="4" spans="1:1" x14ac:dyDescent="0.3">
      <c r="A4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zoomScaleNormal="100" workbookViewId="0">
      <selection activeCell="A3" sqref="A2:A6"/>
    </sheetView>
  </sheetViews>
  <sheetFormatPr defaultColWidth="8.6640625" defaultRowHeight="14.4" x14ac:dyDescent="0.3"/>
  <cols>
    <col min="1" max="1" width="65.33203125" customWidth="1"/>
    <col min="2" max="2" width="19" customWidth="1"/>
  </cols>
  <sheetData>
    <row r="1" spans="1:2" x14ac:dyDescent="0.3">
      <c r="A1" s="4" t="s">
        <v>4</v>
      </c>
      <c r="B1" s="5" t="s">
        <v>19</v>
      </c>
    </row>
    <row r="2" spans="1:2" x14ac:dyDescent="0.3">
      <c r="A2" s="6" t="s">
        <v>8</v>
      </c>
      <c r="B2" s="7">
        <v>5</v>
      </c>
    </row>
    <row r="3" spans="1:2" x14ac:dyDescent="0.3">
      <c r="A3" s="8" t="s">
        <v>20</v>
      </c>
      <c r="B3" s="9"/>
    </row>
    <row r="4" spans="1:2" x14ac:dyDescent="0.3">
      <c r="A4" s="10" t="s">
        <v>21</v>
      </c>
      <c r="B4" s="11">
        <v>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list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Head, Patrick T CTR (USA)</cp:lastModifiedBy>
  <cp:revision>1</cp:revision>
  <dcterms:created xsi:type="dcterms:W3CDTF">2022-07-05T14:28:32Z</dcterms:created>
  <dcterms:modified xsi:type="dcterms:W3CDTF">2026-02-23T19:50:18Z</dcterms:modified>
  <dc:language>en-US</dc:language>
</cp:coreProperties>
</file>