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HAINDHEADP1\Documents\ICAMP\"/>
    </mc:Choice>
  </mc:AlternateContent>
  <xr:revisionPtr revIDLastSave="0" documentId="13_ncr:1_{9EBBBFD7-4B59-4D6A-A14A-A1CB02B67A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" sheetId="1" r:id="rId1"/>
    <sheet name="list" sheetId="2" r:id="rId2"/>
    <sheet name="pivot" sheetId="3" r:id="rId3"/>
  </sheets>
  <definedNames>
    <definedName name="_xlnm._FilterDatabase" localSheetId="0" hidden="1">all!$A$1:$F$6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</calcChain>
</file>

<file path=xl/sharedStrings.xml><?xml version="1.0" encoding="utf-8"?>
<sst xmlns="http://schemas.openxmlformats.org/spreadsheetml/2006/main" count="31" uniqueCount="23">
  <si>
    <t>hostname</t>
  </si>
  <si>
    <t>ipaddress</t>
  </si>
  <si>
    <t>plugin</t>
  </si>
  <si>
    <t>pluginname</t>
  </si>
  <si>
    <t>Plugin_Text</t>
  </si>
  <si>
    <t>PRO-WS65998</t>
  </si>
  <si>
    <t>10.11.97.4</t>
  </si>
  <si>
    <t>Citrix Virtual Apps and Desktops Privilege Escalation Vulnerability (CTX319750)</t>
  </si>
  <si>
    <t>Synopsis: An application installed on the remote Windows host is affected by a privilege escalation vulnerability._x000D__x000D_Description: The version of Citrix Virtual Apps and Desktops installed on the remote Windows host is 2016 and earlier, or s 1912 LTSR CU3 or earlier. It is, therefore, affected by a privilege escalation vulnerability. An unspecified flaw exists related to Citrix Profile Management or Citrix Profile Management WMI Plugin that allows a local attacker to escalate privileges to SYSTEM.
Note that Nessus has not tested for this issue but has instead relied only on the application's self-reported version number._x000D__x000D_Solution: Refer to vendor advisory._x000D__x000D_See Also: https://support.citrix.com/article/CTX319750_x000D__x000D_CVSS Base Score: 7.8_x000D__x000D_CVSS Vector: CVSS2#AV:L/AC:L/Au:N/C:C/I:C/A:C_x000D__x000D_Plugin Output: 
  Path              : C:\Program Files\Citrix\XenDesktopVdaSetup\XenDesktopVdaSetup.exe
  Installed version : Citrix Virtual Apps and Desktops 7 1912 LTSR CU1
  Fixed version     : See Solution.
_x000D__x000D_CPE: cpe:/a:citrix:virtual_apps_and_desktops_x000D__x000D_CVE: NULL _x000D__x000D_BID: NULL_x000D__x000D_Crossref: NULL_x000D__x000D_Vulnerability Publication Date: 2021-07-12_x000D__x000D_Patch Publication Date: 2021-07-12_x000D__x000D_Plugin Modification Date: 2021-08-17_x000D__x000D_Exploitability Ease: No known exploits are available_x000D__x000D_Plugin Type: local_x000D__x000D_Source File: _x000D__x000D_</t>
  </si>
  <si>
    <t>PRO-WS69975</t>
  </si>
  <si>
    <t>10.11.97.14</t>
  </si>
  <si>
    <t>PRO-WS70506</t>
  </si>
  <si>
    <t>10.11.97.27</t>
  </si>
  <si>
    <t>PRO-WS69953</t>
  </si>
  <si>
    <t>10.11.97.12</t>
  </si>
  <si>
    <t>PRO-WS70986</t>
  </si>
  <si>
    <t>10.11.251.38</t>
  </si>
  <si>
    <t>MATCH</t>
  </si>
  <si>
    <t>Row Labels</t>
  </si>
  <si>
    <t>(blank)</t>
  </si>
  <si>
    <t>Grand Total</t>
  </si>
  <si>
    <t>Count of pluginname</t>
  </si>
  <si>
    <t xml:space="preserve">Synopsis: An application installed on the remote Windows host is affected by a privilege escalation vulnerability.
Description: The version of Citrix Virtual Apps and Desktops installed on the remote Windows host is 2016 and earlier, or s 1912 LTSR CU3 or earlier. It is, therefore, affected by a privilege escalation vulnerability. An unspecified flaw exists related to Citrix Profile Management or Citrix Profile Management WMI Plugin that allows a local attacker to escalate privileges to SYSTEM.
Note that Nessus has not tested for this issue but has instead relied only on the application's self-reported version number.
Solution: Refer to vendor advisory.
See Also: https://support.citrix.com/article/CTX319750
CVSS Base Score: 7.8
CVSS Vector: CVSS2#AV:L/AC:L/Au:N/C:C/I:C/A:C
Plugin Output: 
  Path              : C:\Program Files\Citrix\XenDesktopVdaSetup\XenDesktopVdaSetup.exe
  Installed version : Citrix Virtual Apps and Desktops 7 1912 LTSR CU1
  Fixed version     : See Solution.
CPE: cpe:/a:citrix:virtual_apps_and_desktops
CVE: NULL 
BID: NULL
Crossref: NULL
Vulnerability Publication Date: 2021-07-12
Patch Publication Date: 2021-07-12
Plugin Modification Date: 2021-08-17
Exploitability Ease: No known exploits are available
Plugin Type: local
Source File: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</si>
</sst>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ad, Patrick T (BAH TSS)" refreshedDate="44757.570703472222" createdVersion="7" refreshedVersion="7" minRefreshableVersion="3" recordCount="6" xr:uid="{00000000-000A-0000-FFFF-FFFF17000000}">
  <cacheSource type="worksheet">
    <worksheetSource ref="E1:E1048576" sheet="all"/>
  </cacheSource>
  <cacheFields count="1">
    <cacheField name="pluginname" numFmtId="0">
      <sharedItems containsBlank="1" count="14">
        <s v="Citrix Virtual Apps and Desktops Privilege Escalation Vulnerability (CTX319750)"/>
        <m/>
        <s v="Apache Log4j Unsupported Version Detection" u="1"/>
        <s v="Apache Log4j 2.0 &lt; 2.3.2 / 2.4 &lt; 2.12.4 / 2.13 &lt; 2.17.1 RCE" u="1"/>
        <s v="Apache Log4j 1.x Multiple Vulnerabilities" u="1"/>
        <s v="Microsoft Windows 10 Version 1909 Unsupported Version Detection" u="1"/>
        <s v="Microsoft Windows Support Diagnostic Tool (MSDT) RCE Workaround Detection (CVE-2022-30190)" u="1"/>
        <s v="Google Chrome &lt; 101.0.4951.41 Multiple Vulnerabilities" u="1"/>
        <s v="Google Chrome &lt; 101.0.4951.64 Multiple Vulnerabilities" u="1"/>
        <s v="Apache Log4j 1.2 JMSAppender Remote Code Execution (CVE-2021-4104)" u="1"/>
        <s v="KB5013942: Windows 10 Version 20H2 / Windows 10 Version 21H1 / Windows 10 Version 21H2 Security Update (May 2022)" u="1"/>
        <s v="Microsoft Office Trust Access to VBA Project Model Object Enabled" u="1"/>
        <s v="Microsoft Silverlight Unsupported Version Detection (Windows)" u="1"/>
        <s v="SSL Certificate Expir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4" firstHeaderRow="1" firstDataRow="1" firstDataCol="1"/>
  <pivotFields count="1">
    <pivotField axis="axisRow" dataField="1" showAll="0">
      <items count="15">
        <item m="1" x="9"/>
        <item m="1" x="4"/>
        <item m="1" x="3"/>
        <item m="1" x="2"/>
        <item x="0"/>
        <item m="1" x="7"/>
        <item m="1" x="8"/>
        <item m="1" x="10"/>
        <item m="1" x="11"/>
        <item m="1" x="12"/>
        <item m="1" x="5"/>
        <item m="1" x="6"/>
        <item m="1" x="13"/>
        <item x="1"/>
        <item t="default"/>
      </items>
    </pivotField>
  </pivotFields>
  <rowFields count="1">
    <field x="0"/>
  </rowFields>
  <rowItems count="3">
    <i>
      <x v="4"/>
    </i>
    <i>
      <x v="13"/>
    </i>
    <i t="grand">
      <x/>
    </i>
  </rowItems>
  <colItems count="1">
    <i/>
  </colItems>
  <dataFields count="1">
    <dataField name="Count of plugin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3"/>
  <cols>
    <col min="1" max="1" width="17.88671875" bestFit="1" customWidth="1"/>
    <col min="2" max="2" width="10.6640625" customWidth="1"/>
    <col min="3" max="3" width="13.77734375" bestFit="1" customWidth="1"/>
    <col min="4" max="4" width="8" bestFit="1" customWidth="1"/>
    <col min="5" max="5" width="103.5546875" bestFit="1" customWidth="1"/>
    <col min="6" max="6" width="12.5546875" bestFit="1" customWidth="1"/>
  </cols>
  <sheetData>
    <row r="1" spans="1:6" ht="15" customHeight="1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</row>
    <row r="2" spans="1:6" ht="15" customHeight="1" x14ac:dyDescent="0.3">
      <c r="A2" t="s">
        <v>5</v>
      </c>
      <c r="B2" t="e">
        <f>MATCH(A2,list!A:A,0)</f>
        <v>#N/A</v>
      </c>
      <c r="C2" t="s">
        <v>6</v>
      </c>
      <c r="D2">
        <v>152046</v>
      </c>
      <c r="E2" t="s">
        <v>7</v>
      </c>
      <c r="F2" s="1" t="s">
        <v>22</v>
      </c>
    </row>
    <row r="3" spans="1:6" ht="15" customHeight="1" x14ac:dyDescent="0.3">
      <c r="A3" t="s">
        <v>13</v>
      </c>
      <c r="B3" t="e">
        <f>MATCH(A3,list!A:A,0)</f>
        <v>#N/A</v>
      </c>
      <c r="C3" t="s">
        <v>14</v>
      </c>
      <c r="D3">
        <v>152046</v>
      </c>
      <c r="E3" t="s">
        <v>7</v>
      </c>
      <c r="F3" s="1" t="s">
        <v>8</v>
      </c>
    </row>
    <row r="4" spans="1:6" ht="15" customHeight="1" x14ac:dyDescent="0.3">
      <c r="A4" t="s">
        <v>9</v>
      </c>
      <c r="B4" t="e">
        <f>MATCH(A4,list!A:A,0)</f>
        <v>#N/A</v>
      </c>
      <c r="C4" t="s">
        <v>10</v>
      </c>
      <c r="D4">
        <v>152046</v>
      </c>
      <c r="E4" t="s">
        <v>7</v>
      </c>
      <c r="F4" s="1" t="s">
        <v>8</v>
      </c>
    </row>
    <row r="5" spans="1:6" ht="15" customHeight="1" x14ac:dyDescent="0.3">
      <c r="A5" t="s">
        <v>11</v>
      </c>
      <c r="B5" t="e">
        <f>MATCH(A5,list!A:A,0)</f>
        <v>#N/A</v>
      </c>
      <c r="C5" t="s">
        <v>12</v>
      </c>
      <c r="D5">
        <v>152046</v>
      </c>
      <c r="E5" t="s">
        <v>7</v>
      </c>
      <c r="F5" s="1" t="s">
        <v>8</v>
      </c>
    </row>
    <row r="6" spans="1:6" ht="15" customHeight="1" x14ac:dyDescent="0.3">
      <c r="A6" t="s">
        <v>15</v>
      </c>
      <c r="B6" t="e">
        <f>MATCH(A6,list!A:A,0)</f>
        <v>#N/A</v>
      </c>
      <c r="C6" t="s">
        <v>16</v>
      </c>
      <c r="D6">
        <v>152046</v>
      </c>
      <c r="E6" t="s">
        <v>7</v>
      </c>
      <c r="F6" s="1" t="s">
        <v>8</v>
      </c>
    </row>
  </sheetData>
  <autoFilter ref="A1:F6" xr:uid="{00000000-0009-0000-0000-000000000000}">
    <sortState xmlns:xlrd2="http://schemas.microsoft.com/office/spreadsheetml/2017/richdata2" ref="A2:F6">
      <sortCondition ref="A2:A6"/>
    </sortState>
  </autoFilter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54.44140625" customWidth="1"/>
  </cols>
  <sheetData>
    <row r="1" spans="1:1" x14ac:dyDescent="0.3">
      <c r="A1" s="5"/>
    </row>
    <row r="2" spans="1:1" x14ac:dyDescent="0.3">
      <c r="A2" s="5"/>
    </row>
    <row r="3" spans="1:1" x14ac:dyDescent="0.3">
      <c r="A3" s="5"/>
    </row>
    <row r="4" spans="1:1" x14ac:dyDescent="0.3">
      <c r="A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defaultRowHeight="14.4" x14ac:dyDescent="0.3"/>
  <cols>
    <col min="1" max="1" width="65.33203125" bestFit="1" customWidth="1"/>
    <col min="2" max="2" width="19" bestFit="1" customWidth="1"/>
  </cols>
  <sheetData>
    <row r="1" spans="1:2" x14ac:dyDescent="0.3">
      <c r="A1" s="2" t="s">
        <v>18</v>
      </c>
      <c r="B1" t="s">
        <v>21</v>
      </c>
    </row>
    <row r="2" spans="1:2" x14ac:dyDescent="0.3">
      <c r="A2" s="3" t="s">
        <v>7</v>
      </c>
      <c r="B2" s="4">
        <v>5</v>
      </c>
    </row>
    <row r="3" spans="1:2" x14ac:dyDescent="0.3">
      <c r="A3" s="3" t="s">
        <v>19</v>
      </c>
      <c r="B3" s="4"/>
    </row>
    <row r="4" spans="1:2" x14ac:dyDescent="0.3">
      <c r="A4" s="3" t="s">
        <v>20</v>
      </c>
      <c r="B4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list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Head, Patrick T (BAH TSS)</cp:lastModifiedBy>
  <dcterms:created xsi:type="dcterms:W3CDTF">2022-07-05T14:28:32Z</dcterms:created>
  <dcterms:modified xsi:type="dcterms:W3CDTF">2022-07-25T12:23:54Z</dcterms:modified>
</cp:coreProperties>
</file>