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" sheetId="1" state="visible" r:id="rId2"/>
    <sheet name="list" sheetId="2" state="visible" r:id="rId3"/>
    <sheet name="pivot" sheetId="3" state="visible" r:id="rId4"/>
  </sheets>
  <definedNames>
    <definedName function="false" hidden="true" localSheetId="0" name="_xlnm._FilterDatabase" vbProcedure="false">all!$A$1:$F$6</definedName>
  </definedNames>
  <calcPr iterateCount="100" refMode="A1" iterate="false" iterateDelta="0.0001"/>
  <pivotCaches>
    <pivotCache cacheId="1" r:id="rId6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<sst xmlns="http://schemas.openxmlformats.org/spreadsheetml/2006/main" count="31" uniqueCount="22">
  <si>
    <t xml:space="preserve">hostname</t>
  </si>
  <si>
    <t xml:space="preserve">MATCH</t>
  </si>
  <si>
    <t xml:space="preserve">ipaddress</t>
  </si>
  <si>
    <t xml:space="preserve">plugin</t>
  </si>
  <si>
    <t xml:space="preserve">pluginname</t>
  </si>
  <si>
    <t xml:space="preserve">Plugin_Text</t>
  </si>
  <si>
    <t xml:space="preserve">XYZ-DT65998</t>
  </si>
  <si>
    <t xml:space="preserve">10.11.97.4</t>
  </si>
  <si>
    <t xml:space="preserve">Citrix Virtual Apps and Desktops Privilege Escalation Vulnerability (CTX319750)</t>
  </si>
  <si>
    <t xml:space="preserve">Synopsis: An application installed on the remote Windows host is affected by a privilege escalation vulnerability.
Description: The version of Citrix Virtual Apps and Desktops installed on the remote Windows host is 2016 and earlier, or s 1912 LTSR CU3 or earlier. It is, therefore, affected by a privilege escalation vulnerability. An unspecified flaw exists related to Citrix Profile Management or Citrix Profile Management WMI Plugin that allows a local attacker to escalate privileges to SYSTEM.
Note that Nessus has not tested for this issue but has instead relied only on the application's self-reported version number.
Solution: Refer to vendor advisory.
See Also: https://support.citrix.com/article/CTX319750
CVSS Base Score: 7.8
CVSS Vector: CVSS2#AV:L/AC:L/Au:N/C:C/I:C/A:C
Plugin Output: 
  Path              : C:\Program Files\Citrix\XenDesktopVdaSetup\XenDesktopVdaSetup.exe
  Installed version : Citrix Virtual Apps and Desktops 7 1912 LTSR CU1
  Fixed version     : See Solution.
CPE: cpe:/a:citrix:virtual_apps_and_desktops
CVE: NULL 
BID: NULL
Crossref: NULL
Vulnerability Publication Date: 2021-07-12
Patch Publication Date: 2021-07-12
Plugin Modification Date: 2021-08-17
Exploitability Ease: No known exploits are available
Plugin Type: local
Source File: 
</t>
  </si>
  <si>
    <t xml:space="preserve">XYZ-DT69953</t>
  </si>
  <si>
    <t xml:space="preserve">10.11.97.12</t>
  </si>
  <si>
    <t xml:space="preserve">Synopsis: An application installed on the remote Windows host is affected by a privilege escalation vulnerability.
Description: The version of Citrix Virtual Apps and Desktops installed on the remote Windows host is 2016 and earlier, or s 1912 LTSR CU3 or earlier. It is, therefore, affected by a privilege escalation vulnerability. An unspecified flaw exists related to Citrix Profile Management or Citrix Profile Management WMI Plugin that allows a local attacker to escalate privileges to SYSTEM.
Note that Nessus has not tested for this issue but has instead relied only on the application's self-reported version number.
Solution: Refer to vendor advisory.
See Also: https://support.citrix.com/article/CTX319750
CVSS Base Score: 7.8
CVSS Vector: CVSS2#AV:L/AC:L/Au:N/C:C/I:C/A:C
Plugin Output: 
  Path              : C:\Program Files\Citrix\XenDesktopVdaSetup\XenDesktopVdaSetup.exe
  Installed version : Citrix Virtual Apps and Desktops 7 1912 LTSR CU1
  Fixed version     : See Solution.
CPE: cpe:/a:citrix:virtual_apps_and_desktops
CVE: NULL 
BID: NULL
Crossref: NULL
Vulnerability Publication Date: 2021-07-12
Patch Publication Date: 2021-07-12
Plugin Modification Date: 2021-08-17
Exploitability Ease: No known exploits are available
Plugin Type: local
Source File: 
</t>
  </si>
  <si>
    <t xml:space="preserve">XYZ-DT69975</t>
  </si>
  <si>
    <t xml:space="preserve">10.11.97.14</t>
  </si>
  <si>
    <t xml:space="preserve">XYZ-DT70506</t>
  </si>
  <si>
    <t xml:space="preserve">10.11.97.27</t>
  </si>
  <si>
    <t xml:space="preserve">XYZ-DT70986</t>
  </si>
  <si>
    <t xml:space="preserve">10.11.251.38</t>
  </si>
  <si>
    <t xml:space="preserve">Count of pluginname</t>
  </si>
  <si>
    <t xml:space="preserve">(empty)</t>
  </si>
  <si>
    <t xml:space="preserve">Total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</si>
</sst>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5" createdVersion="3">
  <cacheSource type="worksheet">
    <worksheetSource ref="E:E" sheet="all"/>
  </cacheSource>
  <cacheFields count="1">
    <cacheField name="pluginname" numFmtId="0">
      <sharedItems containsBlank="1" count="2">
        <s v="Citrix Virtual Apps and Desktops Privilege Escalation Vulnerability (CTX319750)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">
  <r>
    <x v="0"/>
  </r>
  <r>
    <x v="0"/>
  </r>
  <r>
    <x v="0"/>
  </r>
  <r>
    <x v="0"/>
  </r>
  <r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1:B4" firstHeaderRow="1" firstDataRow="1" firstDataCol="1"/>
  <pivotFields count="1">
    <pivotField axis="axisRow" dataField="1" compact="0" showAll="0">
      <items count="3">
        <item x="0"/>
        <item x="1"/>
        <item t="default"/>
      </items>
    </pivotField>
  </pivotFields>
  <rowFields count="1">
    <field x="0"/>
  </rowFields>
  <dataFields count="1">
    <dataField name="Count of pluginname" fld="0" subtotal="count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:A6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88"/>
    <col collapsed="false" customWidth="true" hidden="false" outlineLevel="0" max="2" min="2" style="0" width="10.66"/>
    <col collapsed="false" customWidth="true" hidden="false" outlineLevel="0" max="3" min="3" style="0" width="13.77"/>
    <col collapsed="false" customWidth="true" hidden="false" outlineLevel="0" max="4" min="4" style="0" width="8"/>
    <col collapsed="false" customWidth="true" hidden="false" outlineLevel="0" max="5" min="5" style="0" width="103.56"/>
    <col collapsed="false" customWidth="true" hidden="false" outlineLevel="0" max="6" min="6" style="0" width="12.56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0" t="s">
        <v>6</v>
      </c>
      <c r="B2" s="0" t="e">
        <f aca="false">MATCH(A2,list!A:A,0)</f>
        <v>#N/A</v>
      </c>
      <c r="C2" s="0" t="s">
        <v>7</v>
      </c>
      <c r="D2" s="0" t="n">
        <v>152046</v>
      </c>
      <c r="E2" s="0" t="s">
        <v>8</v>
      </c>
      <c r="F2" s="2" t="s">
        <v>9</v>
      </c>
    </row>
    <row r="3" customFormat="false" ht="15" hidden="false" customHeight="true" outlineLevel="0" collapsed="false">
      <c r="A3" s="0" t="s">
        <v>10</v>
      </c>
      <c r="B3" s="0" t="e">
        <f aca="false">MATCH(A3,list!A:A,0)</f>
        <v>#N/A</v>
      </c>
      <c r="C3" s="0" t="s">
        <v>11</v>
      </c>
      <c r="D3" s="0" t="n">
        <v>152046</v>
      </c>
      <c r="E3" s="0" t="s">
        <v>8</v>
      </c>
      <c r="F3" s="2" t="s">
        <v>12</v>
      </c>
    </row>
    <row r="4" customFormat="false" ht="15" hidden="false" customHeight="true" outlineLevel="0" collapsed="false">
      <c r="A4" s="0" t="s">
        <v>13</v>
      </c>
      <c r="B4" s="0" t="e">
        <f aca="false">MATCH(A4,list!A:A,0)</f>
        <v>#N/A</v>
      </c>
      <c r="C4" s="0" t="s">
        <v>14</v>
      </c>
      <c r="D4" s="0" t="n">
        <v>152046</v>
      </c>
      <c r="E4" s="0" t="s">
        <v>8</v>
      </c>
      <c r="F4" s="2" t="s">
        <v>12</v>
      </c>
    </row>
    <row r="5" customFormat="false" ht="15" hidden="false" customHeight="true" outlineLevel="0" collapsed="false">
      <c r="A5" s="0" t="s">
        <v>15</v>
      </c>
      <c r="B5" s="0" t="e">
        <f aca="false">MATCH(A5,list!A:A,0)</f>
        <v>#N/A</v>
      </c>
      <c r="C5" s="0" t="s">
        <v>16</v>
      </c>
      <c r="D5" s="0" t="n">
        <v>152046</v>
      </c>
      <c r="E5" s="0" t="s">
        <v>8</v>
      </c>
      <c r="F5" s="2" t="s">
        <v>12</v>
      </c>
    </row>
    <row r="6" customFormat="false" ht="15" hidden="false" customHeight="true" outlineLevel="0" collapsed="false">
      <c r="A6" s="0" t="s">
        <v>17</v>
      </c>
      <c r="B6" s="0" t="e">
        <f aca="false">MATCH(A6,list!A:A,0)</f>
        <v>#N/A</v>
      </c>
      <c r="C6" s="0" t="s">
        <v>18</v>
      </c>
      <c r="D6" s="0" t="n">
        <v>152046</v>
      </c>
      <c r="E6" s="0" t="s">
        <v>8</v>
      </c>
      <c r="F6" s="2" t="s">
        <v>12</v>
      </c>
    </row>
  </sheetData>
  <autoFilter ref="A1:F6">
    <sortState ref="A2:F6">
      <sortCondition ref="A2:A6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2:A6 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54.44"/>
  </cols>
  <sheetData>
    <row r="1" customFormat="false" ht="14.25" hidden="false" customHeight="false" outlineLevel="0" collapsed="false">
      <c r="A1" s="3"/>
    </row>
    <row r="2" customFormat="false" ht="14.25" hidden="false" customHeight="false" outlineLevel="0" collapsed="false">
      <c r="A2" s="3"/>
    </row>
    <row r="3" customFormat="false" ht="14.25" hidden="false" customHeight="false" outlineLevel="0" collapsed="false">
      <c r="A3" s="3"/>
    </row>
    <row r="4" customFormat="false" ht="14.25" hidden="false" customHeight="false" outlineLevel="0" collapsed="false">
      <c r="A4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2:A6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65.33"/>
    <col collapsed="false" customWidth="true" hidden="false" outlineLevel="0" max="2" min="2" style="0" width="19"/>
  </cols>
  <sheetData>
    <row r="1" customFormat="false" ht="14.25" hidden="false" customHeight="false" outlineLevel="0" collapsed="false">
      <c r="A1" s="4" t="s">
        <v>4</v>
      </c>
      <c r="B1" s="5" t="s">
        <v>19</v>
      </c>
    </row>
    <row r="2" customFormat="false" ht="14.25" hidden="false" customHeight="false" outlineLevel="0" collapsed="false">
      <c r="A2" s="6" t="s">
        <v>8</v>
      </c>
      <c r="B2" s="7" t="n">
        <v>5</v>
      </c>
    </row>
    <row r="3" customFormat="false" ht="14.25" hidden="false" customHeight="false" outlineLevel="0" collapsed="false">
      <c r="A3" s="8" t="s">
        <v>20</v>
      </c>
      <c r="B3" s="9"/>
    </row>
    <row r="4" customFormat="false" ht="14.25" hidden="false" customHeight="false" outlineLevel="0" collapsed="false">
      <c r="A4" s="10" t="s">
        <v>21</v>
      </c>
      <c r="B4" s="11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LibreOffice/7.4.7.2$Linux_AARCH64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2022-07-05T14:28:32Z</dcterms:created>
  <dc:creator/>
  <dc:description/>
  <dc:language>en-US</dc:language>
  <cp:lastModifiedBy/>
  <dcterms:modified xsi:type="dcterms:W3CDTF">2026-02-23T14:46:52Z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